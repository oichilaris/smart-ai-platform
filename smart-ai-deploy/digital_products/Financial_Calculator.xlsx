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Calculator" sheetId="1" state="visible" r:id="rId1"/>
    <sheet xmlns:r="http://schemas.openxmlformats.org/officeDocument/2006/relationships" name="Break-Even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2E7D32"/>
      <sz val="16"/>
    </font>
    <font>
      <i val="1"/>
      <color rgb="00666666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3" borderId="0" pivotButton="0" quotePrefix="0" xfId="0"/>
    <xf numFmtId="4" fontId="0" fillId="4" borderId="0" pivotButton="0" quotePrefix="0" xfId="0"/>
    <xf numFmtId="164" fontId="0" fillId="4" borderId="0" pivotButton="0" quotePrefix="0" xfId="0"/>
    <xf numFmtId="3" fontId="0" fillId="3" borderId="0" pivotButton="0" quotePrefix="0" xfId="0"/>
    <xf numFmtId="3" fontId="0" fillId="4" borderId="0" pivotButton="0" quotePrefix="0" xfId="0"/>
    <xf numFmtId="165" fontId="0" fillId="3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</cols>
  <sheetData>
    <row r="1">
      <c r="A1" s="1" t="inlineStr">
        <is>
          <t>PROFIT CALCULATOR</t>
        </is>
      </c>
    </row>
    <row r="2">
      <c r="A2" s="2" t="inlineStr">
        <is>
          <t>Fill INPUT cells (yellow). Calculations auto-update.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Formula/Notes</t>
        </is>
      </c>
    </row>
    <row r="5">
      <c r="A5" t="inlineStr">
        <is>
          <t>Selling Price (per unit)</t>
        </is>
      </c>
      <c r="B5" s="4" t="n">
        <v>10</v>
      </c>
      <c r="C5" t="inlineStr">
        <is>
          <t>INPUT</t>
        </is>
      </c>
    </row>
    <row r="6">
      <c r="A6" t="inlineStr">
        <is>
          <t>Cost of Goods Sold (per unit)</t>
        </is>
      </c>
      <c r="B6" s="4" t="n">
        <v>4</v>
      </c>
      <c r="C6" t="inlineStr">
        <is>
          <t>INPUT</t>
        </is>
      </c>
    </row>
    <row r="7">
      <c r="A7" t="inlineStr">
        <is>
          <t>Gross Profit (per unit)</t>
        </is>
      </c>
      <c r="B7" s="5">
        <f>B5-B6</f>
        <v/>
      </c>
      <c r="C7" t="inlineStr">
        <is>
          <t>Auto-calculated</t>
        </is>
      </c>
    </row>
    <row r="8">
      <c r="A8" t="inlineStr">
        <is>
          <t>Gross Margin %</t>
        </is>
      </c>
      <c r="B8" s="6">
        <f>B7/B5</f>
        <v/>
      </c>
      <c r="C8" t="inlineStr">
        <is>
          <t>Auto-calculated</t>
        </is>
      </c>
    </row>
    <row r="9">
      <c r="A9" t="inlineStr">
        <is>
          <t>Monthly Units Sold</t>
        </is>
      </c>
      <c r="B9" s="4" t="n">
        <v>100</v>
      </c>
      <c r="C9" t="inlineStr">
        <is>
          <t>INPUT</t>
        </is>
      </c>
    </row>
    <row r="10">
      <c r="A10" t="inlineStr">
        <is>
          <t>Monthly Revenue</t>
        </is>
      </c>
      <c r="B10" s="5">
        <f>B5*B9</f>
        <v/>
      </c>
      <c r="C10" t="inlineStr">
        <is>
          <t>Auto-calculated</t>
        </is>
      </c>
    </row>
    <row r="11">
      <c r="A11" t="inlineStr">
        <is>
          <t>Monthly COGS</t>
        </is>
      </c>
      <c r="B11" s="5">
        <f>B6*B9</f>
        <v/>
      </c>
      <c r="C11" t="inlineStr">
        <is>
          <t>Auto-calculated</t>
        </is>
      </c>
    </row>
    <row r="12">
      <c r="A12" t="inlineStr">
        <is>
          <t>Monthly Gross Profit</t>
        </is>
      </c>
      <c r="B12" s="5">
        <f>B10-B11</f>
        <v/>
      </c>
      <c r="C12" t="inlineStr">
        <is>
          <t>Auto-calculated</t>
        </is>
      </c>
    </row>
    <row r="13">
      <c r="A13" t="inlineStr">
        <is>
          <t>Monthly Operating Expenses</t>
        </is>
      </c>
      <c r="B13" s="4" t="n">
        <v>200</v>
      </c>
      <c r="C13" t="inlineStr">
        <is>
          <t>INPUT</t>
        </is>
      </c>
    </row>
    <row r="14">
      <c r="A14" t="inlineStr">
        <is>
          <t>Monthly Net Profit</t>
        </is>
      </c>
      <c r="B14" s="5">
        <f>B12-B13</f>
        <v/>
      </c>
      <c r="C14" t="inlineStr">
        <is>
          <t>Auto-calculated</t>
        </is>
      </c>
    </row>
    <row r="15">
      <c r="A15" t="inlineStr">
        <is>
          <t>Net Profit Margin</t>
        </is>
      </c>
      <c r="B15" s="6">
        <f>B14/B10</f>
        <v/>
      </c>
      <c r="C15" t="inlineStr">
        <is>
          <t>Auto-calculated</t>
        </is>
      </c>
    </row>
    <row r="16">
      <c r="A16" t="inlineStr">
        <is>
          <t>Annual Net Profit</t>
        </is>
      </c>
      <c r="B16" s="5">
        <f>B14*12</f>
        <v/>
      </c>
      <c r="C16" t="inlineStr">
        <is>
          <t>Auto-calculated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BREAK-EVEN ANALYSIS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Notes</t>
        </is>
      </c>
    </row>
    <row r="4">
      <c r="A4" t="inlineStr">
        <is>
          <t>Fixed Costs (monthly)</t>
        </is>
      </c>
      <c r="B4" s="4" t="n">
        <v>500</v>
      </c>
      <c r="C4" t="inlineStr">
        <is>
          <t>INPUT</t>
        </is>
      </c>
    </row>
    <row r="5">
      <c r="A5" t="inlineStr">
        <is>
          <t>Variable Cost (per unit)</t>
        </is>
      </c>
      <c r="B5" s="4" t="n">
        <v>4</v>
      </c>
      <c r="C5" t="inlineStr">
        <is>
          <t>INPUT</t>
        </is>
      </c>
    </row>
    <row r="6">
      <c r="A6" t="inlineStr">
        <is>
          <t>Selling Price (per unit)</t>
        </is>
      </c>
      <c r="B6" s="4" t="n">
        <v>10</v>
      </c>
      <c r="C6" t="inlineStr">
        <is>
          <t>INPUT</t>
        </is>
      </c>
    </row>
    <row r="7">
      <c r="A7" t="inlineStr">
        <is>
          <t>Contribution Margin</t>
        </is>
      </c>
      <c r="B7" s="5">
        <f>B6-B5</f>
        <v/>
      </c>
      <c r="C7" t="inlineStr">
        <is>
          <t>Auto</t>
        </is>
      </c>
    </row>
    <row r="8">
      <c r="A8" t="inlineStr">
        <is>
          <t>Break-Even Units</t>
        </is>
      </c>
      <c r="B8" s="5">
        <f>B4/B7</f>
        <v/>
      </c>
      <c r="C8" t="inlineStr">
        <is>
          <t>Auto</t>
        </is>
      </c>
    </row>
    <row r="9">
      <c r="A9" t="inlineStr">
        <is>
          <t>Break-Even Revenue</t>
        </is>
      </c>
      <c r="B9" s="5">
        <f>B8*B6</f>
        <v/>
      </c>
      <c r="C9" t="inlineStr">
        <is>
          <t>Auto</t>
        </is>
      </c>
    </row>
    <row r="10">
      <c r="A10" t="inlineStr">
        <is>
          <t>Safety Margin (units)</t>
        </is>
      </c>
      <c r="B10" s="5">
        <f>B9-100</f>
        <v/>
      </c>
      <c r="C10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CASH FLOW FORECAST (3 Months)</t>
        </is>
      </c>
    </row>
    <row r="3">
      <c r="A3" s="3" t="inlineStr">
        <is>
          <t>Month</t>
        </is>
      </c>
      <c r="B3" s="3" t="inlineStr">
        <is>
          <t>Starting Cash</t>
        </is>
      </c>
      <c r="C3" s="3" t="inlineStr">
        <is>
          <t>Revenue</t>
        </is>
      </c>
      <c r="D3" s="3" t="inlineStr">
        <is>
          <t>Expenses</t>
        </is>
      </c>
      <c r="E3" s="3" t="inlineStr">
        <is>
          <t>Ending Cash</t>
        </is>
      </c>
    </row>
    <row r="4">
      <c r="A4" t="inlineStr">
        <is>
          <t>Month 1</t>
        </is>
      </c>
      <c r="B4" s="7" t="n">
        <v>1000</v>
      </c>
      <c r="C4" s="7" t="n">
        <v>1000</v>
      </c>
      <c r="D4" s="7" t="n">
        <v>600</v>
      </c>
      <c r="E4" s="8">
        <f>B4+C4-D4</f>
        <v/>
      </c>
    </row>
    <row r="5">
      <c r="A5" t="inlineStr">
        <is>
          <t>Month 2</t>
        </is>
      </c>
      <c r="B5" s="8">
        <f>E4</f>
        <v/>
      </c>
      <c r="C5" s="7" t="n">
        <v>1200</v>
      </c>
      <c r="D5" s="7" t="n">
        <v>700</v>
      </c>
      <c r="E5" s="8">
        <f>B5+C5-D5</f>
        <v/>
      </c>
    </row>
    <row r="6">
      <c r="A6" t="inlineStr">
        <is>
          <t>Month 3</t>
        </is>
      </c>
      <c r="B6" s="8">
        <f>E5</f>
        <v/>
      </c>
      <c r="C6" s="7" t="n">
        <v>1500</v>
      </c>
      <c r="D6" s="7" t="n">
        <v>800</v>
      </c>
      <c r="E6" s="8">
        <f>B6+C6-D6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PRICING STRATEGY</t>
        </is>
      </c>
    </row>
    <row r="3">
      <c r="A3" s="3" t="inlineStr">
        <is>
          <t>Tier</t>
        </is>
      </c>
      <c r="B3" s="3" t="inlineStr">
        <is>
          <t>Price</t>
        </is>
      </c>
      <c r="C3" s="3" t="inlineStr">
        <is>
          <t>Cost</t>
        </is>
      </c>
      <c r="D3" s="3" t="inlineStr">
        <is>
          <t>Margin</t>
        </is>
      </c>
      <c r="E3" s="3" t="inlineStr">
        <is>
          <t>Target Market</t>
        </is>
      </c>
    </row>
    <row r="4">
      <c r="A4" t="inlineStr">
        <is>
          <t>Basic</t>
        </is>
      </c>
      <c r="B4" s="9" t="n">
        <v>10</v>
      </c>
      <c r="C4" s="9" t="n">
        <v>4</v>
      </c>
      <c r="D4" s="10">
        <f>(B4-C4)/B4</f>
        <v/>
      </c>
      <c r="E4" t="inlineStr">
        <is>
          <t>Price-sensitive</t>
        </is>
      </c>
    </row>
    <row r="5">
      <c r="A5" t="inlineStr">
        <is>
          <t>Standard</t>
        </is>
      </c>
      <c r="B5" s="9" t="n">
        <v>25</v>
      </c>
      <c r="C5" s="9" t="n">
        <v>8</v>
      </c>
      <c r="D5" s="10">
        <f>(B5-C5)/B5</f>
        <v/>
      </c>
      <c r="E5" t="inlineStr">
        <is>
          <t>Mid-market</t>
        </is>
      </c>
    </row>
    <row r="6">
      <c r="A6" t="inlineStr">
        <is>
          <t>Premium</t>
        </is>
      </c>
      <c r="B6" s="9" t="n">
        <v>50</v>
      </c>
      <c r="C6" s="9" t="n">
        <v>12</v>
      </c>
      <c r="D6" s="10">
        <f>(B6-C6)/B6</f>
        <v/>
      </c>
      <c r="E6" t="inlineStr">
        <is>
          <t>Premium</t>
        </is>
      </c>
    </row>
    <row r="7">
      <c r="A7" t="inlineStr">
        <is>
          <t>Enterprise</t>
        </is>
      </c>
      <c r="B7" s="9" t="n">
        <v>100</v>
      </c>
      <c r="C7" s="9" t="n">
        <v>20</v>
      </c>
      <c r="D7" s="10">
        <f>(B7-C7)/B7</f>
        <v/>
      </c>
      <c r="E7" t="inlineStr">
        <is>
          <t>B2B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2026-10-25T18:21:46Z</dcterms:created>
  <dcterms:modified xmlns:dcterms="http://purl.org/dc/terms/" xmlns:xsi="http://www.w3.org/2001/XMLSchema-instance" xsi:type="dcterms:W3CDTF">2026-10-25T18:21:46Z</dcterms:modified>
</cp:coreProperties>
</file>